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80"/>
  </bookViews>
  <sheets>
    <sheet name="B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C1D7148A9B44FF5B30FF6F13427E57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00810" y="3467100"/>
          <a:ext cx="16725900" cy="9534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E6919FB05A0C45D594936C73AB7E9DF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100810" y="2946400"/>
          <a:ext cx="16840200" cy="9791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96DA28DADA944135B6EA5B59D14C99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100810" y="2362200"/>
          <a:ext cx="16811625" cy="9334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<sst xmlns="http://schemas.openxmlformats.org/spreadsheetml/2006/main" count="263" uniqueCount="105">
  <si>
    <t>Имя файла</t>
  </si>
  <si>
    <t>Предшественник</t>
  </si>
  <si>
    <t>Комп</t>
  </si>
  <si>
    <t>B0</t>
  </si>
  <si>
    <t>Vphi</t>
  </si>
  <si>
    <t>F_grav</t>
  </si>
  <si>
    <t>const_p</t>
  </si>
  <si>
    <t>F_line</t>
  </si>
  <si>
    <t>alpha_line</t>
  </si>
  <si>
    <t>rho_in</t>
  </si>
  <si>
    <t>Vinf (R = 6)</t>
  </si>
  <si>
    <t>Расход</t>
  </si>
  <si>
    <t>Дозвук ли по Vr вблизи границы</t>
  </si>
  <si>
    <t>Неустойчивость</t>
  </si>
  <si>
    <t>График r_pole</t>
  </si>
  <si>
    <t>График phi_average</t>
  </si>
  <si>
    <t>Комментарий</t>
  </si>
  <si>
    <t>Nuclon</t>
  </si>
  <si>
    <t>-0.187168</t>
  </si>
  <si>
    <t>0.000186401</t>
  </si>
  <si>
    <t>0.067358</t>
  </si>
  <si>
    <t>0.44</t>
  </si>
  <si>
    <t>0.45</t>
  </si>
  <si>
    <t>да</t>
  </si>
  <si>
    <t>нет</t>
  </si>
  <si>
    <t>0.45542</t>
  </si>
  <si>
    <t>да (микро на экваторе)</t>
  </si>
  <si>
    <t>0.266667</t>
  </si>
  <si>
    <t>Получается слишком сильная скорость ветра и расход массы. Надо уменьшить силу отталкивания</t>
  </si>
  <si>
    <t>0.58554</t>
  </si>
  <si>
    <t>0.06</t>
  </si>
  <si>
    <t>≈ 2.55</t>
  </si>
  <si>
    <t>≈ 3.3</t>
  </si>
  <si>
    <t>0.08</t>
  </si>
  <si>
    <t>0.55</t>
  </si>
  <si>
    <t>0.5</t>
  </si>
  <si>
    <t>≈ 2.41</t>
  </si>
  <si>
    <t>≈ 8.35</t>
  </si>
  <si>
    <t>нет (микро неустойчивость)</t>
  </si>
  <si>
    <t>0.04</t>
  </si>
  <si>
    <t>≈ 3.47</t>
  </si>
  <si>
    <t>≈ 2.7 (2 - 5)</t>
  </si>
  <si>
    <t>0.35</t>
  </si>
  <si>
    <t>≈ 2.65</t>
  </si>
  <si>
    <t>≈ 2.2</t>
  </si>
  <si>
    <t>почти (бывает сверхзвук вблизи границы на средних широтах)</t>
  </si>
  <si>
    <t>HSE</t>
  </si>
  <si>
    <t>0.09</t>
  </si>
  <si>
    <t>0.3</t>
  </si>
  <si>
    <t>≈ 1.8</t>
  </si>
  <si>
    <t>≈ 4.67</t>
  </si>
  <si>
    <t>нет (вблизи экватора есть сверхзвуковые зоны)</t>
  </si>
  <si>
    <t>0.2</t>
  </si>
  <si>
    <t>≈ 2</t>
  </si>
  <si>
    <t>≈ 4</t>
  </si>
  <si>
    <t>Luna</t>
  </si>
  <si>
    <t>0.11</t>
  </si>
  <si>
    <t>≈ (1.5)</t>
  </si>
  <si>
    <t>≈ (5.5)</t>
  </si>
  <si>
    <t>нет (на средних широтах сверхзвук)</t>
  </si>
  <si>
    <t xml:space="preserve">≈ </t>
  </si>
  <si>
    <t>≈</t>
  </si>
  <si>
    <t>0.1</t>
  </si>
  <si>
    <t>≈  (1.85)</t>
  </si>
  <si>
    <t>≈  (7)</t>
  </si>
  <si>
    <t>0.03</t>
  </si>
  <si>
    <t>0.7</t>
  </si>
  <si>
    <t>≈  (5)</t>
  </si>
  <si>
    <t>≈  (3.7)</t>
  </si>
  <si>
    <t>0.12</t>
  </si>
  <si>
    <t>≈ (1.38)</t>
  </si>
  <si>
    <t>≈ (4.2)</t>
  </si>
  <si>
    <t>≈ (2.34)</t>
  </si>
  <si>
    <t>≈ (2.1)</t>
  </si>
  <si>
    <t>Неустойчивое странное решение. Видимо с такими параметрами нельзя посчитать</t>
  </si>
  <si>
    <t>1.5</t>
  </si>
  <si>
    <t>≈ (1.263)</t>
  </si>
  <si>
    <t>≈ (6.7)</t>
  </si>
  <si>
    <t>0.13</t>
  </si>
  <si>
    <t>≈ (1.26)</t>
  </si>
  <si>
    <t>≈ (5)</t>
  </si>
  <si>
    <t>0.15</t>
  </si>
  <si>
    <t>0.6</t>
  </si>
  <si>
    <t>≈ (2.2)</t>
  </si>
  <si>
    <t>≈ (2.6)</t>
  </si>
  <si>
    <t>Тут ветер сразу сверхзвуковой</t>
  </si>
  <si>
    <t>-0.22</t>
  </si>
  <si>
    <t>≈ (2.68)</t>
  </si>
  <si>
    <t>≈ (7)</t>
  </si>
  <si>
    <t>-0.13</t>
  </si>
  <si>
    <t>0.00015</t>
  </si>
  <si>
    <t>≈ (6)</t>
  </si>
  <si>
    <t>0.0003</t>
  </si>
  <si>
    <t>≈ (1.11)</t>
  </si>
  <si>
    <t>≈ (4)</t>
  </si>
  <si>
    <t>0.0005</t>
  </si>
  <si>
    <t>≈ (0.94)</t>
  </si>
  <si>
    <t>0.0006</t>
  </si>
  <si>
    <t>≈ (2.41)</t>
  </si>
  <si>
    <t>≈ (10)</t>
  </si>
  <si>
    <t>≈ (1.03)</t>
  </si>
  <si>
    <t>≈ (4.67)</t>
  </si>
  <si>
    <t>≈ (6.3)</t>
  </si>
  <si>
    <t>≈ (1)</t>
  </si>
  <si>
    <t>0.14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</si>
</sst>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mmm\.yy"/>
  </numFmts>
  <fonts count="3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Arial"/>
      <charset val="134"/>
    </font>
    <font>
      <b/>
      <sz val="18"/>
      <name val="Arial"/>
      <charset val="134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sz val="9"/>
      <color rgb="FF000000"/>
      <name val="Cascadia Mono"/>
      <charset val="134"/>
    </font>
    <font>
      <b/>
      <sz val="18"/>
      <color rgb="FF000000"/>
      <name val="Arial"/>
      <charset val="134"/>
    </font>
    <font>
      <b/>
      <sz val="18"/>
      <name val="Calibri"/>
      <charset val="134"/>
      <scheme val="minor"/>
    </font>
    <font>
      <b/>
      <strike/>
      <sz val="18"/>
      <color theme="1"/>
      <name val="Calibri"/>
      <charset val="134"/>
      <scheme val="minor"/>
    </font>
    <font>
      <b/>
      <strike/>
      <sz val="18"/>
      <color theme="1"/>
      <name val="Arial"/>
      <charset val="134"/>
    </font>
    <font>
      <b/>
      <strike/>
      <sz val="18"/>
      <color rgb="FFFF0000"/>
      <name val="Arial"/>
      <charset val="134"/>
    </font>
    <font>
      <b/>
      <strike/>
      <sz val="14"/>
      <color theme="1"/>
      <name val="Arial"/>
      <charset val="134"/>
    </font>
    <font>
      <b/>
      <sz val="18"/>
      <color rgb="FFFF0000"/>
      <name val="Arial"/>
      <charset val="134"/>
    </font>
    <font>
      <b/>
      <sz val="14"/>
      <color rgb="FF000000"/>
      <name val="Arial"/>
      <charset val="134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8" borderId="6" applyNumberFormat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8" fillId="0" borderId="0" xfId="0" applyFon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abSelected="1" zoomScaleSheetLayoutView="60" topLeftCell="A23" workbookViewId="0">
      <selection activeCell="D29" sqref="D29"/>
    </sheetView>
  </sheetViews>
  <sheetFormatPr defaultColWidth="10" defaultRowHeight="18"/>
  <cols>
    <col min="1" max="1" width="11.6666666666667" style="1" customWidth="1"/>
    <col min="2" max="2" width="9.55555555555556" style="1" customWidth="1"/>
    <col min="3" max="3" width="11.7777777777778" style="1" customWidth="1"/>
    <col min="4" max="4" width="17.2222222222222" style="1" customWidth="1"/>
    <col min="5" max="7" width="17.1111111111111" style="1" customWidth="1"/>
    <col min="8" max="8" width="14.4444444444444" style="2" customWidth="1"/>
    <col min="9" max="9" width="12.2222222222222" style="2" customWidth="1"/>
    <col min="10" max="11" width="18.6666666666667" style="1" customWidth="1"/>
    <col min="12" max="12" width="20" style="1" customWidth="1"/>
    <col min="13" max="13" width="48.4444444444444" style="3" customWidth="1"/>
    <col min="14" max="14" width="30.1481481481481" style="1" customWidth="1"/>
    <col min="15" max="15" width="18.462962962963" style="1" customWidth="1"/>
    <col min="16" max="16" width="25.1203703703704" style="1" customWidth="1"/>
    <col min="17" max="17" width="95.25" style="1" customWidth="1"/>
    <col min="18" max="21" width="18.6666666666667" customWidth="1"/>
  </cols>
  <sheetData>
    <row r="1" ht="48" customHeight="1" spans="1:17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  <c r="Q1" s="11" t="s">
        <v>16</v>
      </c>
    </row>
    <row r="2" ht="46" customHeight="1" spans="1:17">
      <c r="A2" s="4">
        <v>1</v>
      </c>
      <c r="B2" s="4"/>
      <c r="C2" s="4" t="s">
        <v>17</v>
      </c>
      <c r="D2" s="4">
        <v>0</v>
      </c>
      <c r="E2" s="4">
        <v>0</v>
      </c>
      <c r="F2" s="12" t="s">
        <v>18</v>
      </c>
      <c r="G2" s="12" t="s">
        <v>19</v>
      </c>
      <c r="H2" s="6" t="s">
        <v>20</v>
      </c>
      <c r="I2" s="7" t="s">
        <v>21</v>
      </c>
      <c r="J2" s="9" t="s">
        <v>22</v>
      </c>
      <c r="K2" s="13"/>
      <c r="L2" s="13"/>
      <c r="M2" s="14" t="s">
        <v>23</v>
      </c>
      <c r="N2" s="13" t="s">
        <v>24</v>
      </c>
      <c r="O2" s="13"/>
      <c r="P2" s="13"/>
      <c r="Q2" s="15"/>
    </row>
    <row r="3" ht="46" customHeight="1" spans="1:17">
      <c r="A3" s="4">
        <v>2</v>
      </c>
      <c r="B3" s="4"/>
      <c r="C3" s="4" t="s">
        <v>17</v>
      </c>
      <c r="D3" s="4" t="s">
        <v>25</v>
      </c>
      <c r="E3" s="4">
        <v>0</v>
      </c>
      <c r="F3" s="12" t="s">
        <v>18</v>
      </c>
      <c r="G3" s="12" t="s">
        <v>19</v>
      </c>
      <c r="H3" s="6" t="s">
        <v>20</v>
      </c>
      <c r="I3" s="7" t="s">
        <v>21</v>
      </c>
      <c r="J3" s="9" t="s">
        <v>22</v>
      </c>
      <c r="K3" s="13"/>
      <c r="L3" s="13"/>
      <c r="M3" s="14" t="s">
        <v>26</v>
      </c>
      <c r="N3" s="13" t="s">
        <v>23</v>
      </c>
      <c r="O3" s="13"/>
      <c r="P3" s="13"/>
      <c r="Q3" s="15"/>
    </row>
    <row r="4" ht="46" customHeight="1" spans="1:17">
      <c r="A4" s="4">
        <v>3</v>
      </c>
      <c r="B4" s="4"/>
      <c r="C4" s="4" t="s">
        <v>17</v>
      </c>
      <c r="D4" s="4" t="s">
        <v>25</v>
      </c>
      <c r="E4" s="4" t="s">
        <v>27</v>
      </c>
      <c r="F4" s="12" t="s">
        <v>18</v>
      </c>
      <c r="G4" s="12" t="s">
        <v>19</v>
      </c>
      <c r="H4" s="6" t="s">
        <v>20</v>
      </c>
      <c r="I4" s="7" t="s">
        <v>21</v>
      </c>
      <c r="J4" s="9" t="s">
        <v>22</v>
      </c>
      <c r="K4" s="13"/>
      <c r="L4" s="13"/>
      <c r="M4" s="14" t="s">
        <v>26</v>
      </c>
      <c r="N4" s="13" t="s">
        <v>23</v>
      </c>
      <c r="O4" s="13"/>
      <c r="P4" s="13"/>
      <c r="Q4" s="15" t="s">
        <v>28</v>
      </c>
    </row>
    <row r="5" ht="46" customHeight="1" spans="1:17">
      <c r="A5" s="4">
        <v>4</v>
      </c>
      <c r="B5" s="4"/>
      <c r="C5" s="4" t="s">
        <v>17</v>
      </c>
      <c r="D5" s="4" t="s">
        <v>29</v>
      </c>
      <c r="E5" s="4" t="s">
        <v>27</v>
      </c>
      <c r="F5" s="12" t="s">
        <v>18</v>
      </c>
      <c r="G5" s="12" t="s">
        <v>19</v>
      </c>
      <c r="H5" s="7" t="s">
        <v>30</v>
      </c>
      <c r="I5" s="7" t="s">
        <v>21</v>
      </c>
      <c r="J5" s="9" t="s">
        <v>22</v>
      </c>
      <c r="K5" s="13" t="s">
        <v>31</v>
      </c>
      <c r="L5" s="13" t="s">
        <v>32</v>
      </c>
      <c r="M5" s="14" t="s">
        <v>26</v>
      </c>
      <c r="N5" s="13" t="s">
        <v>23</v>
      </c>
      <c r="O5" s="13"/>
      <c r="P5" s="16" t="str">
        <f>_xlfn.DISPIMG("ID_96DA28DADA944135B6EA5B59D14C9926",1)</f>
        <v>=DISPIMG("ID_96DA28DADA944135B6EA5B59D14C9926",1)</v>
      </c>
      <c r="Q5" s="15"/>
    </row>
    <row r="6" ht="46" customHeight="1" spans="1:17">
      <c r="A6" s="4">
        <v>5</v>
      </c>
      <c r="B6" s="4"/>
      <c r="C6" s="4" t="s">
        <v>17</v>
      </c>
      <c r="D6" s="4" t="s">
        <v>29</v>
      </c>
      <c r="E6" s="4" t="s">
        <v>27</v>
      </c>
      <c r="F6" s="12" t="s">
        <v>18</v>
      </c>
      <c r="G6" s="12" t="s">
        <v>19</v>
      </c>
      <c r="H6" s="17" t="s">
        <v>33</v>
      </c>
      <c r="I6" s="17" t="s">
        <v>34</v>
      </c>
      <c r="J6" s="9" t="s">
        <v>35</v>
      </c>
      <c r="K6" s="13" t="s">
        <v>36</v>
      </c>
      <c r="L6" s="13" t="s">
        <v>37</v>
      </c>
      <c r="M6" s="14"/>
      <c r="N6" s="13" t="s">
        <v>38</v>
      </c>
      <c r="O6" s="13"/>
      <c r="P6" s="16" t="str">
        <f>_xlfn.DISPIMG("ID_E6919FB05A0C45D594936C73AB7E9DF8",1)</f>
        <v>=DISPIMG("ID_E6919FB05A0C45D594936C73AB7E9DF8",1)</v>
      </c>
      <c r="Q6" s="15"/>
    </row>
    <row r="7" ht="46" customHeight="1" spans="1:17">
      <c r="A7" s="4">
        <v>6</v>
      </c>
      <c r="B7" s="4"/>
      <c r="C7" s="4" t="s">
        <v>17</v>
      </c>
      <c r="D7" s="4" t="s">
        <v>29</v>
      </c>
      <c r="E7" s="4" t="s">
        <v>27</v>
      </c>
      <c r="F7" s="12" t="s">
        <v>18</v>
      </c>
      <c r="G7" s="12" t="s">
        <v>19</v>
      </c>
      <c r="H7" s="7" t="s">
        <v>39</v>
      </c>
      <c r="I7" s="7" t="s">
        <v>34</v>
      </c>
      <c r="J7" s="9" t="s">
        <v>35</v>
      </c>
      <c r="K7" s="13" t="s">
        <v>40</v>
      </c>
      <c r="L7" s="13" t="s">
        <v>41</v>
      </c>
      <c r="M7" s="14"/>
      <c r="N7" s="13" t="s">
        <v>23</v>
      </c>
      <c r="O7" s="13"/>
      <c r="P7" s="16" t="str">
        <f>_xlfn.DISPIMG("ID_EC1D7148A9B44FF5B30FF6F13427E574",1)</f>
        <v>=DISPIMG("ID_EC1D7148A9B44FF5B30FF6F13427E574",1)</v>
      </c>
      <c r="Q7" s="15"/>
    </row>
    <row r="8" ht="46" customHeight="1" spans="1:17">
      <c r="A8" s="18">
        <v>7</v>
      </c>
      <c r="B8" s="18"/>
      <c r="C8" s="19" t="s">
        <v>17</v>
      </c>
      <c r="D8" s="19" t="s">
        <v>29</v>
      </c>
      <c r="E8" s="19" t="s">
        <v>27</v>
      </c>
      <c r="F8" s="12" t="s">
        <v>18</v>
      </c>
      <c r="G8" s="12" t="s">
        <v>19</v>
      </c>
      <c r="H8" s="20" t="s">
        <v>30</v>
      </c>
      <c r="I8" s="20" t="s">
        <v>42</v>
      </c>
      <c r="J8" s="21" t="s">
        <v>35</v>
      </c>
      <c r="K8" s="22" t="s">
        <v>43</v>
      </c>
      <c r="L8" s="13" t="s">
        <v>44</v>
      </c>
      <c r="M8" s="14" t="s">
        <v>45</v>
      </c>
      <c r="N8" s="13"/>
      <c r="O8" s="4"/>
      <c r="P8" s="4"/>
      <c r="Q8" s="23"/>
    </row>
    <row r="9" ht="46" customHeight="1" spans="1:17">
      <c r="A9" s="4">
        <v>8</v>
      </c>
      <c r="B9" s="4"/>
      <c r="C9" s="4" t="s">
        <v>46</v>
      </c>
      <c r="D9" s="4" t="s">
        <v>29</v>
      </c>
      <c r="E9" s="4" t="s">
        <v>27</v>
      </c>
      <c r="F9" s="12" t="s">
        <v>18</v>
      </c>
      <c r="G9" s="12" t="s">
        <v>19</v>
      </c>
      <c r="H9" s="7" t="s">
        <v>47</v>
      </c>
      <c r="I9" s="7" t="s">
        <v>48</v>
      </c>
      <c r="J9" s="9" t="s">
        <v>35</v>
      </c>
      <c r="K9" s="13" t="s">
        <v>49</v>
      </c>
      <c r="L9" s="13" t="s">
        <v>50</v>
      </c>
      <c r="M9" s="14" t="s">
        <v>51</v>
      </c>
      <c r="N9" s="4"/>
      <c r="O9" s="4"/>
      <c r="P9" s="4"/>
      <c r="Q9" s="23"/>
    </row>
    <row r="10" ht="46" customHeight="1" spans="1:17">
      <c r="A10" s="4">
        <v>9</v>
      </c>
      <c r="B10" s="4"/>
      <c r="C10" s="4" t="s">
        <v>17</v>
      </c>
      <c r="D10" s="4" t="s">
        <v>29</v>
      </c>
      <c r="E10" s="4" t="s">
        <v>27</v>
      </c>
      <c r="F10" s="12" t="s">
        <v>18</v>
      </c>
      <c r="G10" s="12" t="s">
        <v>19</v>
      </c>
      <c r="H10" s="7" t="s">
        <v>47</v>
      </c>
      <c r="I10" s="7" t="s">
        <v>52</v>
      </c>
      <c r="J10" s="9" t="s">
        <v>35</v>
      </c>
      <c r="K10" s="13" t="s">
        <v>53</v>
      </c>
      <c r="L10" s="13" t="s">
        <v>54</v>
      </c>
      <c r="M10" s="14"/>
      <c r="N10" s="13" t="s">
        <v>23</v>
      </c>
      <c r="O10" s="4"/>
      <c r="P10" s="24"/>
    </row>
    <row r="11" ht="46" customHeight="1" spans="1:17">
      <c r="A11" s="25">
        <v>10</v>
      </c>
      <c r="B11" s="25"/>
      <c r="C11" s="4" t="s">
        <v>55</v>
      </c>
      <c r="D11" s="4" t="s">
        <v>29</v>
      </c>
      <c r="E11" s="4" t="s">
        <v>27</v>
      </c>
      <c r="F11" s="12" t="s">
        <v>18</v>
      </c>
      <c r="G11" s="12" t="s">
        <v>19</v>
      </c>
      <c r="H11" s="26" t="s">
        <v>56</v>
      </c>
      <c r="I11" s="7" t="s">
        <v>48</v>
      </c>
      <c r="J11" s="9" t="s">
        <v>35</v>
      </c>
      <c r="K11" s="13" t="s">
        <v>57</v>
      </c>
      <c r="L11" s="13" t="s">
        <v>58</v>
      </c>
      <c r="M11" s="14" t="s">
        <v>59</v>
      </c>
      <c r="N11" s="4"/>
      <c r="O11" s="4"/>
      <c r="P11" s="24"/>
    </row>
    <row r="12" ht="46" customHeight="1" spans="1:17">
      <c r="A12" s="25"/>
      <c r="B12" s="25"/>
      <c r="C12" s="4"/>
      <c r="D12" s="4" t="s">
        <v>29</v>
      </c>
      <c r="E12" s="4" t="s">
        <v>27</v>
      </c>
      <c r="F12" s="12" t="s">
        <v>18</v>
      </c>
      <c r="G12" s="12" t="s">
        <v>19</v>
      </c>
      <c r="H12" s="7" t="s">
        <v>39</v>
      </c>
      <c r="I12" s="7" t="s">
        <v>52</v>
      </c>
      <c r="J12" s="9" t="s">
        <v>35</v>
      </c>
      <c r="K12" s="13" t="s">
        <v>60</v>
      </c>
      <c r="L12" s="13" t="s">
        <v>61</v>
      </c>
      <c r="M12" s="14"/>
      <c r="N12" s="4"/>
      <c r="O12" s="4"/>
      <c r="P12" s="24"/>
    </row>
    <row r="13" ht="46" customHeight="1" spans="1:17">
      <c r="A13" s="25">
        <v>12</v>
      </c>
      <c r="B13" s="25"/>
      <c r="C13" s="4" t="s">
        <v>17</v>
      </c>
      <c r="D13" s="4"/>
      <c r="E13" s="4"/>
      <c r="F13" s="12" t="s">
        <v>18</v>
      </c>
      <c r="G13" s="12" t="s">
        <v>19</v>
      </c>
      <c r="H13" s="6" t="s">
        <v>62</v>
      </c>
      <c r="I13" s="6" t="s">
        <v>21</v>
      </c>
      <c r="J13" s="9" t="s">
        <v>35</v>
      </c>
      <c r="K13" s="13" t="s">
        <v>63</v>
      </c>
      <c r="L13" s="13" t="s">
        <v>64</v>
      </c>
      <c r="M13" s="14"/>
      <c r="N13" s="4"/>
      <c r="O13" s="4"/>
      <c r="P13" s="24"/>
    </row>
    <row r="14" ht="46" customHeight="1" spans="1:17">
      <c r="A14" s="25">
        <v>13</v>
      </c>
      <c r="B14" s="25"/>
      <c r="C14" s="4" t="s">
        <v>46</v>
      </c>
      <c r="D14" s="4"/>
      <c r="E14" s="4"/>
      <c r="F14" s="12" t="s">
        <v>18</v>
      </c>
      <c r="G14" s="12" t="s">
        <v>19</v>
      </c>
      <c r="H14" s="6" t="s">
        <v>65</v>
      </c>
      <c r="I14" s="6" t="s">
        <v>66</v>
      </c>
      <c r="J14" s="9" t="s">
        <v>35</v>
      </c>
      <c r="K14" s="13" t="s">
        <v>67</v>
      </c>
      <c r="L14" s="13" t="s">
        <v>68</v>
      </c>
      <c r="M14" s="14"/>
      <c r="N14" s="4"/>
      <c r="O14" s="4"/>
      <c r="P14" s="24"/>
    </row>
    <row r="15" ht="46" customHeight="1" spans="1:17">
      <c r="A15" s="27">
        <v>14</v>
      </c>
      <c r="B15" s="27"/>
      <c r="C15" s="4" t="s">
        <v>17</v>
      </c>
      <c r="D15" s="4"/>
      <c r="E15" s="4"/>
      <c r="F15" s="12" t="s">
        <v>18</v>
      </c>
      <c r="G15" s="12" t="s">
        <v>19</v>
      </c>
      <c r="H15" s="6" t="s">
        <v>69</v>
      </c>
      <c r="I15" s="6" t="s">
        <v>62</v>
      </c>
      <c r="J15" s="9" t="s">
        <v>35</v>
      </c>
      <c r="K15" s="13" t="s">
        <v>70</v>
      </c>
      <c r="L15" s="13" t="s">
        <v>71</v>
      </c>
      <c r="M15" s="14"/>
      <c r="N15" s="4"/>
      <c r="O15" s="4"/>
      <c r="P15" s="24"/>
    </row>
    <row r="16" ht="46" customHeight="1" spans="1:17">
      <c r="A16" s="28">
        <v>15</v>
      </c>
      <c r="B16" s="28"/>
      <c r="C16" s="29" t="s">
        <v>46</v>
      </c>
      <c r="D16" s="29"/>
      <c r="E16" s="29"/>
      <c r="F16" s="12" t="s">
        <v>18</v>
      </c>
      <c r="G16" s="12" t="s">
        <v>19</v>
      </c>
      <c r="H16" s="30" t="s">
        <v>56</v>
      </c>
      <c r="I16" s="31" t="s">
        <v>48</v>
      </c>
      <c r="J16" s="32" t="s">
        <v>62</v>
      </c>
      <c r="K16" s="33" t="s">
        <v>72</v>
      </c>
      <c r="L16" s="33" t="s">
        <v>73</v>
      </c>
      <c r="M16" s="34"/>
      <c r="N16" s="29"/>
      <c r="O16" s="4"/>
      <c r="P16" s="24"/>
      <c r="Q16" s="1" t="s">
        <v>74</v>
      </c>
    </row>
    <row r="17" ht="46" customHeight="1" spans="1:17">
      <c r="A17" s="35">
        <v>16</v>
      </c>
      <c r="B17" s="36"/>
      <c r="C17" s="25" t="s">
        <v>17</v>
      </c>
      <c r="D17" s="4"/>
      <c r="E17" s="4"/>
      <c r="F17" s="12" t="s">
        <v>18</v>
      </c>
      <c r="G17" s="12" t="s">
        <v>19</v>
      </c>
      <c r="H17" s="26" t="s">
        <v>69</v>
      </c>
      <c r="I17" s="7" t="s">
        <v>62</v>
      </c>
      <c r="J17" s="37" t="s">
        <v>75</v>
      </c>
      <c r="K17" s="13" t="s">
        <v>76</v>
      </c>
      <c r="L17" s="13" t="s">
        <v>77</v>
      </c>
      <c r="M17" s="14" t="s">
        <v>23</v>
      </c>
      <c r="N17" s="23"/>
      <c r="O17" s="23"/>
    </row>
    <row r="18" ht="46" customHeight="1" spans="1:17">
      <c r="A18" s="35">
        <v>17</v>
      </c>
      <c r="B18" s="36"/>
      <c r="C18" s="25" t="s">
        <v>17</v>
      </c>
      <c r="D18" s="23"/>
      <c r="E18" s="23"/>
      <c r="F18" s="12" t="s">
        <v>18</v>
      </c>
      <c r="G18" s="12" t="s">
        <v>19</v>
      </c>
      <c r="H18" s="6" t="s">
        <v>78</v>
      </c>
      <c r="I18" s="6" t="s">
        <v>33</v>
      </c>
      <c r="J18" s="9" t="s">
        <v>35</v>
      </c>
      <c r="K18" s="38" t="s">
        <v>79</v>
      </c>
      <c r="L18" s="9" t="s">
        <v>80</v>
      </c>
      <c r="M18" s="10"/>
      <c r="N18" s="23"/>
      <c r="O18" s="23"/>
    </row>
    <row r="19" ht="46" customHeight="1" spans="1:17">
      <c r="A19" s="39">
        <v>18</v>
      </c>
      <c r="B19" s="39"/>
      <c r="C19" s="25" t="s">
        <v>17</v>
      </c>
      <c r="F19" s="12" t="s">
        <v>18</v>
      </c>
      <c r="G19" s="12" t="s">
        <v>19</v>
      </c>
      <c r="H19" s="6" t="s">
        <v>81</v>
      </c>
      <c r="I19" s="6" t="s">
        <v>82</v>
      </c>
      <c r="J19" s="9" t="s">
        <v>35</v>
      </c>
      <c r="K19" s="38" t="s">
        <v>83</v>
      </c>
      <c r="L19" s="9" t="s">
        <v>84</v>
      </c>
      <c r="M19" s="40"/>
      <c r="Q19" s="1" t="s">
        <v>85</v>
      </c>
    </row>
    <row r="20" ht="46" customHeight="1" spans="1:17">
      <c r="A20" s="1">
        <v>19</v>
      </c>
      <c r="C20" s="25" t="s">
        <v>17</v>
      </c>
      <c r="F20" s="48" t="s">
        <v>86</v>
      </c>
      <c r="G20" s="12" t="s">
        <v>19</v>
      </c>
      <c r="H20" s="17" t="s">
        <v>33</v>
      </c>
      <c r="I20" s="17" t="s">
        <v>34</v>
      </c>
      <c r="J20" s="9" t="s">
        <v>35</v>
      </c>
      <c r="K20" s="13" t="s">
        <v>87</v>
      </c>
      <c r="L20" s="13" t="s">
        <v>88</v>
      </c>
      <c r="M20" s="41"/>
    </row>
    <row r="21" ht="46" customHeight="1" spans="1:17">
      <c r="A21" s="25"/>
      <c r="B21" s="25"/>
      <c r="C21" s="25" t="s">
        <v>17</v>
      </c>
      <c r="D21" s="4" t="s">
        <v>29</v>
      </c>
      <c r="E21" s="4" t="s">
        <v>27</v>
      </c>
      <c r="F21" s="48" t="s">
        <v>89</v>
      </c>
      <c r="G21" s="12" t="s">
        <v>90</v>
      </c>
      <c r="H21" s="26" t="s">
        <v>56</v>
      </c>
      <c r="I21" s="7" t="s">
        <v>52</v>
      </c>
      <c r="J21" s="9" t="s">
        <v>52</v>
      </c>
      <c r="K21" s="13" t="s">
        <v>57</v>
      </c>
      <c r="L21" s="13" t="s">
        <v>91</v>
      </c>
      <c r="M21" s="41"/>
    </row>
    <row r="22" ht="46" customHeight="1" spans="1:17">
      <c r="A22" s="42">
        <v>21</v>
      </c>
      <c r="B22" s="36">
        <v>17</v>
      </c>
      <c r="C22" s="25" t="s">
        <v>17</v>
      </c>
      <c r="D22" s="4"/>
      <c r="E22" s="4"/>
      <c r="F22" s="12" t="s">
        <v>18</v>
      </c>
      <c r="G22" s="12" t="s">
        <v>92</v>
      </c>
      <c r="H22" s="6" t="s">
        <v>78</v>
      </c>
      <c r="I22" s="6" t="s">
        <v>33</v>
      </c>
      <c r="J22" s="9" t="s">
        <v>35</v>
      </c>
      <c r="K22" s="13" t="s">
        <v>93</v>
      </c>
      <c r="L22" s="13" t="s">
        <v>94</v>
      </c>
    </row>
    <row r="23" ht="46" customHeight="1" spans="1:17">
      <c r="A23" s="42">
        <v>22</v>
      </c>
      <c r="B23" s="36">
        <v>21</v>
      </c>
      <c r="C23" s="25" t="s">
        <v>17</v>
      </c>
      <c r="D23" s="4"/>
      <c r="E23" s="4"/>
      <c r="F23" s="12" t="s">
        <v>18</v>
      </c>
      <c r="G23" s="12" t="s">
        <v>95</v>
      </c>
      <c r="H23" s="6" t="s">
        <v>78</v>
      </c>
      <c r="I23" s="6" t="s">
        <v>33</v>
      </c>
      <c r="J23" s="9" t="s">
        <v>35</v>
      </c>
      <c r="K23" s="13" t="s">
        <v>96</v>
      </c>
      <c r="L23" s="13" t="s">
        <v>91</v>
      </c>
    </row>
    <row r="24" ht="46" customHeight="1" spans="1:17">
      <c r="A24" s="43">
        <v>23</v>
      </c>
      <c r="B24" s="36">
        <v>21</v>
      </c>
      <c r="C24" s="25" t="s">
        <v>17</v>
      </c>
      <c r="D24" s="4"/>
      <c r="E24" s="4"/>
      <c r="F24" s="12" t="s">
        <v>18</v>
      </c>
      <c r="G24" s="12" t="s">
        <v>97</v>
      </c>
      <c r="H24" s="6" t="s">
        <v>78</v>
      </c>
      <c r="I24" s="6" t="s">
        <v>33</v>
      </c>
      <c r="J24" s="9" t="s">
        <v>35</v>
      </c>
      <c r="K24" s="13" t="s">
        <v>96</v>
      </c>
      <c r="L24" s="13" t="s">
        <v>91</v>
      </c>
    </row>
    <row r="25" ht="46" customHeight="1" spans="1:17">
      <c r="A25" s="40">
        <v>24</v>
      </c>
      <c r="B25" s="40"/>
      <c r="C25" s="40"/>
      <c r="D25" s="40"/>
      <c r="E25" s="40"/>
      <c r="F25" s="40"/>
      <c r="G25" s="44" t="s">
        <v>95</v>
      </c>
      <c r="H25" s="45" t="s">
        <v>78</v>
      </c>
      <c r="I25" s="45" t="s">
        <v>35</v>
      </c>
      <c r="J25" s="9" t="s">
        <v>35</v>
      </c>
      <c r="K25" s="13" t="s">
        <v>98</v>
      </c>
      <c r="L25" s="13" t="s">
        <v>99</v>
      </c>
    </row>
    <row r="26" ht="46" customHeight="1" spans="1:17">
      <c r="A26" s="46">
        <v>25</v>
      </c>
      <c r="G26" s="44" t="s">
        <v>95</v>
      </c>
      <c r="H26" s="6" t="s">
        <v>69</v>
      </c>
      <c r="I26" s="6" t="s">
        <v>62</v>
      </c>
      <c r="J26" s="9" t="s">
        <v>35</v>
      </c>
      <c r="K26" s="13" t="s">
        <v>100</v>
      </c>
      <c r="L26" s="13" t="s">
        <v>101</v>
      </c>
    </row>
    <row r="27" ht="46" customHeight="1" spans="1:17">
      <c r="A27" s="46">
        <v>26</v>
      </c>
      <c r="G27" s="44" t="s">
        <v>95</v>
      </c>
      <c r="H27" s="6" t="s">
        <v>78</v>
      </c>
      <c r="I27" s="6" t="s">
        <v>81</v>
      </c>
      <c r="J27" s="9" t="s">
        <v>35</v>
      </c>
      <c r="K27" s="13" t="s">
        <v>96</v>
      </c>
      <c r="L27" s="13" t="s">
        <v>102</v>
      </c>
    </row>
    <row r="28" ht="46" customHeight="1" spans="1:17">
      <c r="A28" s="46">
        <v>27</v>
      </c>
      <c r="G28" s="44" t="s">
        <v>95</v>
      </c>
      <c r="H28" s="6" t="s">
        <v>78</v>
      </c>
      <c r="I28" s="6" t="s">
        <v>52</v>
      </c>
      <c r="J28" s="9" t="s">
        <v>35</v>
      </c>
      <c r="K28" s="13" t="s">
        <v>103</v>
      </c>
      <c r="L28" s="13" t="s">
        <v>88</v>
      </c>
    </row>
    <row r="29" ht="46" customHeight="1" spans="1:17">
      <c r="A29" s="47">
        <v>28</v>
      </c>
      <c r="G29" s="44" t="s">
        <v>95</v>
      </c>
      <c r="H29" s="6" t="s">
        <v>104</v>
      </c>
      <c r="I29" s="6" t="s">
        <v>52</v>
      </c>
      <c r="J29" s="9" t="s">
        <v>35</v>
      </c>
      <c r="K29" s="13" t="s">
        <v>103</v>
      </c>
      <c r="L29" s="13" t="s">
        <v>88</v>
      </c>
    </row>
    <row r="30" ht="46" customHeight="1"/>
    <row r="31" ht="46" customHeight="1"/>
    <row r="32" ht="46" customHeight="1"/>
    <row r="33" ht="46" customHeight="1"/>
    <row r="34" ht="46" customHeight="1"/>
    <row r="35" ht="46" customHeight="1"/>
    <row r="36" ht="46" customHeight="1"/>
    <row r="37" ht="46" customHeight="1"/>
    <row r="38" ht="46" customHeight="1"/>
    <row r="39" ht="46" customHeight="1"/>
    <row r="40" ht="46" customHeight="1"/>
    <row r="41" ht="46" customHeight="1"/>
    <row r="42" ht="46" customHeight="1"/>
    <row r="43" ht="46" customHeight="1"/>
    <row r="44" ht="46" customHeight="1"/>
    <row r="45" ht="46" customHeight="1"/>
    <row r="46" ht="46" customHeight="1"/>
    <row r="47" ht="46" customHeight="1"/>
    <row r="48" ht="46" customHeight="1"/>
    <row r="49" ht="46" customHeight="1"/>
    <row r="50" ht="46" customHeight="1"/>
    <row r="51" ht="46" customHeight="1"/>
    <row r="52" ht="46" customHeight="1"/>
    <row r="53" ht="46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Королько�</cp:lastModifiedBy>
  <dcterms:created xsi:type="dcterms:W3CDTF">2026-09-08T11:11:00Z</dcterms:created>
  <dcterms:modified xsi:type="dcterms:W3CDTF">2026-09-17T14:32:33Z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D36EA74771C64B60A0FAFA4EECB9A5D6_13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