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180"/>
  </bookViews>
  <sheets>
    <sheet name="B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EC1D7148A9B44FF5B30FF6F13427E57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100810" y="3467100"/>
          <a:ext cx="16725900" cy="95345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E6919FB05A0C45D594936C73AB7E9DF8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100810" y="2946400"/>
          <a:ext cx="16840200" cy="97917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96DA28DADA944135B6EA5B59D14C9926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4100810" y="2362200"/>
          <a:ext cx="16811625" cy="93345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<sst xmlns="http://schemas.openxmlformats.org/spreadsheetml/2006/main" count="128" uniqueCount="63">
  <si>
    <t>Имя файла</t>
  </si>
  <si>
    <t>Комп</t>
  </si>
  <si>
    <t>B0</t>
  </si>
  <si>
    <t>Vphi</t>
  </si>
  <si>
    <t>F_line</t>
  </si>
  <si>
    <t>alpha_line</t>
  </si>
  <si>
    <t>rho_in</t>
  </si>
  <si>
    <t>Vinf (R = 6)</t>
  </si>
  <si>
    <t>Расход</t>
  </si>
  <si>
    <t>Неустойчивость</t>
  </si>
  <si>
    <t>График r_pole</t>
  </si>
  <si>
    <t>График phi_average</t>
  </si>
  <si>
    <t>Комментарий</t>
  </si>
  <si>
    <t>Nuclon</t>
  </si>
  <si>
    <t>0.067358</t>
  </si>
  <si>
    <t>0.44</t>
  </si>
  <si>
    <t>0.45</t>
  </si>
  <si>
    <t>нет</t>
  </si>
  <si>
    <t>0.45542</t>
  </si>
  <si>
    <t>да</t>
  </si>
  <si>
    <t>0.266667</t>
  </si>
  <si>
    <t>Получается слишком сильная скорость ветра и расход массы. Надо уменьшить силу отталкивания</t>
  </si>
  <si>
    <t>0.58554</t>
  </si>
  <si>
    <t>0.06</t>
  </si>
  <si>
    <t>≈ 2.55</t>
  </si>
  <si>
    <t>≈ 3.3</t>
  </si>
  <si>
    <t>0.08</t>
  </si>
  <si>
    <t>0.55</t>
  </si>
  <si>
    <t>0.5</t>
  </si>
  <si>
    <t>≈ 2.41</t>
  </si>
  <si>
    <t>≈ 8.35</t>
  </si>
  <si>
    <t>нет (микро неустойчивость)</t>
  </si>
  <si>
    <t>0.04</t>
  </si>
  <si>
    <t>≈ 3.47</t>
  </si>
  <si>
    <t>≈ 2.7 (2 - 5)</t>
  </si>
  <si>
    <t>0.35</t>
  </si>
  <si>
    <t>≈ 2.65</t>
  </si>
  <si>
    <t>≈ 2.2</t>
  </si>
  <si>
    <t>HSE</t>
  </si>
  <si>
    <t>0.09</t>
  </si>
  <si>
    <t>0.3</t>
  </si>
  <si>
    <t>≈ 1.8</t>
  </si>
  <si>
    <t>≈ 4.67</t>
  </si>
  <si>
    <t>0.2</t>
  </si>
  <si>
    <t>≈ 2</t>
  </si>
  <si>
    <t>≈ 4</t>
  </si>
  <si>
    <t>Luna</t>
  </si>
  <si>
    <t>0.11</t>
  </si>
  <si>
    <t>≈ (1.5)</t>
  </si>
  <si>
    <t>≈ (4.5)</t>
  </si>
  <si>
    <t xml:space="preserve">≈ </t>
  </si>
  <si>
    <t>≈</t>
  </si>
  <si>
    <t>0.1</t>
  </si>
  <si>
    <t>≈  (1.85)</t>
  </si>
  <si>
    <t>≈  (7)</t>
  </si>
  <si>
    <t>0.03</t>
  </si>
  <si>
    <t>0.7</t>
  </si>
  <si>
    <t>≈  (5)</t>
  </si>
  <si>
    <t>≈  (3.7)</t>
  </si>
  <si>
    <t>0.12</t>
  </si>
  <si>
    <t>≈ (2.2)</t>
  </si>
  <si>
    <t>≈ (4.48)</t>
  </si>
  <si>
    <t>1.5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</si>
</sst>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* #,##0.00\ &quot;₽&quot;_-;\-* #,##0.00\ &quot;₽&quot;_-;_-* &quot;-&quot;??\ &quot;₽&quot;_-;_-@_-"/>
    <numFmt numFmtId="177" formatCode="_-* #,##0\ &quot;₽&quot;_-;\-* #,##0\ &quot;₽&quot;_-;_-* &quot;-&quot;\ &quot;₽&quot;_-;_-@_-"/>
  </numFmts>
  <fonts count="27">
    <font>
      <sz val="11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b/>
      <sz val="18"/>
      <color theme="1"/>
      <name val="Arial"/>
      <charset val="134"/>
    </font>
    <font>
      <b/>
      <sz val="18"/>
      <name val="Arial"/>
      <charset val="134"/>
    </font>
    <font>
      <sz val="11"/>
      <color theme="1"/>
      <name val="Arial"/>
      <charset val="134"/>
    </font>
    <font>
      <b/>
      <sz val="18"/>
      <color rgb="FF000000"/>
      <name val="Arial"/>
      <charset val="134"/>
    </font>
    <font>
      <b/>
      <sz val="18"/>
      <name val="Calibri"/>
      <charset val="134"/>
      <scheme val="minor"/>
    </font>
    <font>
      <b/>
      <sz val="18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7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2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49" fontId="2" fillId="0" borderId="2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49" fontId="7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vertical="center" wrapText="1"/>
    </xf>
  </cellXfs>
  <cellStyles count="49">
    <cellStyle name="Обычный" xfId="0" builtinId="0"/>
    <cellStyle name="Запятая" xfId="1" builtinId="3"/>
    <cellStyle name="Денежный" xfId="2" builtinId="4"/>
    <cellStyle name="Процент" xfId="3" builtinId="5"/>
    <cellStyle name="Запятая [0]" xfId="4" builtinId="6"/>
    <cellStyle name="Денежный [0]" xfId="5" builtinId="7"/>
    <cellStyle name="Гиперссылка" xfId="6" builtinId="8"/>
    <cellStyle name="Открывавшаяся гиперссылка" xfId="7" builtinId="9"/>
    <cellStyle name="Примечание" xfId="8" builtinId="10"/>
    <cellStyle name="Предупреждающий текст" xfId="9" builtinId="11"/>
    <cellStyle name="Заголовок" xfId="10" builtinId="15"/>
    <cellStyle name="Пояснительный текст" xfId="11" builtinId="53"/>
    <cellStyle name="Заголовок 1" xfId="12" builtinId="16"/>
    <cellStyle name="Заголовок 2" xfId="13" builtinId="17"/>
    <cellStyle name="Заголовок 3" xfId="14" builtinId="18"/>
    <cellStyle name="Заголовок 4" xfId="15" builtinId="19"/>
    <cellStyle name="Ввод" xfId="16" builtinId="20"/>
    <cellStyle name="Вывод" xfId="17" builtinId="21"/>
    <cellStyle name="Вычисление" xfId="18" builtinId="22"/>
    <cellStyle name="Проверить ячейку" xfId="19" builtinId="23"/>
    <cellStyle name="Связанная ячейка" xfId="20" builtinId="24"/>
    <cellStyle name="Итого" xfId="21" builtinId="25"/>
    <cellStyle name="Хороший" xfId="22" builtinId="26"/>
    <cellStyle name="Плохой" xfId="23" builtinId="27"/>
    <cellStyle name="Нейтральный" xfId="24" builtinId="28"/>
    <cellStyle name="Акцент1" xfId="25" builtinId="29"/>
    <cellStyle name="20% — Акцент1" xfId="26" builtinId="30"/>
    <cellStyle name="40% — Акцент1" xfId="27" builtinId="31"/>
    <cellStyle name="60% — Акцент1" xfId="28" builtinId="32"/>
    <cellStyle name="Акцент2" xfId="29" builtinId="33"/>
    <cellStyle name="20% — Акцент2" xfId="30" builtinId="34"/>
    <cellStyle name="40% — Акцент2" xfId="31" builtinId="35"/>
    <cellStyle name="60% — Акцент2" xfId="32" builtinId="36"/>
    <cellStyle name="Акцент3" xfId="33" builtinId="37"/>
    <cellStyle name="20% — Акцент3" xfId="34" builtinId="38"/>
    <cellStyle name="40% — Акцент3" xfId="35" builtinId="39"/>
    <cellStyle name="60% — Акцент3" xfId="36" builtinId="40"/>
    <cellStyle name="Акцент4" xfId="37" builtinId="41"/>
    <cellStyle name="20% — Акцент4" xfId="38" builtinId="42"/>
    <cellStyle name="40% — Акцент4" xfId="39" builtinId="43"/>
    <cellStyle name="60% — Акцент4" xfId="40" builtinId="44"/>
    <cellStyle name="Акцент5" xfId="41" builtinId="45"/>
    <cellStyle name="20% — Акцент5" xfId="42" builtinId="46"/>
    <cellStyle name="40% — Акцент5" xfId="43" builtinId="47"/>
    <cellStyle name="60% — Акцент5" xfId="44" builtinId="48"/>
    <cellStyle name="Акцент6" xfId="45" builtinId="49"/>
    <cellStyle name="20% — Акцент6" xfId="46" builtinId="50"/>
    <cellStyle name="40% — Акцент6" xfId="47" builtinId="51"/>
    <cellStyle name="60% — Акцент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2"/>
  <sheetViews>
    <sheetView tabSelected="1" zoomScaleSheetLayoutView="60" topLeftCell="A11" workbookViewId="0">
      <selection activeCell="I12" sqref="I12"/>
    </sheetView>
  </sheetViews>
  <sheetFormatPr defaultColWidth="10" defaultRowHeight="14.4"/>
  <cols>
    <col min="1" max="1" width="11.6666666666667" style="1" customWidth="1"/>
    <col min="2" max="2" width="11.7777777777778" style="1" customWidth="1"/>
    <col min="3" max="3" width="17.2222222222222" style="1" customWidth="1"/>
    <col min="4" max="4" width="17.1111111111111" style="1" customWidth="1"/>
    <col min="5" max="5" width="14.4444444444444" style="2" customWidth="1"/>
    <col min="6" max="6" width="12.2222222222222" style="2" customWidth="1"/>
    <col min="7" max="8" width="18.6666666666667" style="1" customWidth="1"/>
    <col min="9" max="9" width="20" style="1" customWidth="1"/>
    <col min="10" max="10" width="30.1481481481481" style="1" customWidth="1"/>
    <col min="11" max="11" width="18.462962962963" style="1" customWidth="1"/>
    <col min="12" max="12" width="25.1203703703704" style="1" customWidth="1"/>
    <col min="13" max="13" width="95.25" style="1" customWidth="1"/>
    <col min="14" max="17" width="18.6666666666667" customWidth="1"/>
  </cols>
  <sheetData>
    <row r="1" ht="48" customHeight="1" spans="1:13">
      <c r="A1" s="3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</row>
    <row r="2" ht="46" customHeight="1" spans="1:13">
      <c r="A2" s="3">
        <v>1</v>
      </c>
      <c r="B2" s="3" t="s">
        <v>13</v>
      </c>
      <c r="C2" s="3">
        <v>0</v>
      </c>
      <c r="D2" s="3">
        <v>0</v>
      </c>
      <c r="E2" s="4" t="s">
        <v>14</v>
      </c>
      <c r="F2" s="5" t="s">
        <v>15</v>
      </c>
      <c r="G2" s="7" t="s">
        <v>16</v>
      </c>
      <c r="H2" s="9"/>
      <c r="I2" s="9"/>
      <c r="J2" s="9" t="s">
        <v>17</v>
      </c>
      <c r="K2" s="9"/>
      <c r="L2" s="9"/>
      <c r="M2" s="10"/>
    </row>
    <row r="3" ht="46" customHeight="1" spans="1:13">
      <c r="A3" s="3">
        <v>2</v>
      </c>
      <c r="B3" s="3" t="s">
        <v>13</v>
      </c>
      <c r="C3" s="3" t="s">
        <v>18</v>
      </c>
      <c r="D3" s="3">
        <v>0</v>
      </c>
      <c r="E3" s="4" t="s">
        <v>14</v>
      </c>
      <c r="F3" s="5" t="s">
        <v>15</v>
      </c>
      <c r="G3" s="7" t="s">
        <v>16</v>
      </c>
      <c r="H3" s="9"/>
      <c r="I3" s="9"/>
      <c r="J3" s="9" t="s">
        <v>19</v>
      </c>
      <c r="K3" s="9"/>
      <c r="L3" s="9"/>
      <c r="M3" s="10"/>
    </row>
    <row r="4" ht="46" customHeight="1" spans="1:13">
      <c r="A4" s="3">
        <v>3</v>
      </c>
      <c r="B4" s="3" t="s">
        <v>13</v>
      </c>
      <c r="C4" s="3" t="s">
        <v>18</v>
      </c>
      <c r="D4" s="3" t="s">
        <v>20</v>
      </c>
      <c r="E4" s="4" t="s">
        <v>14</v>
      </c>
      <c r="F4" s="5" t="s">
        <v>15</v>
      </c>
      <c r="G4" s="7" t="s">
        <v>16</v>
      </c>
      <c r="H4" s="9"/>
      <c r="I4" s="9"/>
      <c r="J4" s="9" t="s">
        <v>19</v>
      </c>
      <c r="K4" s="9"/>
      <c r="L4" s="9"/>
      <c r="M4" s="10" t="s">
        <v>21</v>
      </c>
    </row>
    <row r="5" ht="46" customHeight="1" spans="1:13">
      <c r="A5" s="3">
        <v>4</v>
      </c>
      <c r="B5" s="3" t="s">
        <v>13</v>
      </c>
      <c r="C5" s="3" t="s">
        <v>22</v>
      </c>
      <c r="D5" s="3" t="s">
        <v>20</v>
      </c>
      <c r="E5" s="5" t="s">
        <v>23</v>
      </c>
      <c r="F5" s="5" t="s">
        <v>15</v>
      </c>
      <c r="G5" s="7" t="s">
        <v>16</v>
      </c>
      <c r="H5" s="9" t="s">
        <v>24</v>
      </c>
      <c r="I5" s="9" t="s">
        <v>25</v>
      </c>
      <c r="J5" s="9" t="s">
        <v>19</v>
      </c>
      <c r="K5" s="9"/>
      <c r="L5" s="11" t="str">
        <f>_xlfn.DISPIMG("ID_96DA28DADA944135B6EA5B59D14C9926",1)</f>
        <v>=DISPIMG("ID_96DA28DADA944135B6EA5B59D14C9926",1)</v>
      </c>
      <c r="M5" s="10"/>
    </row>
    <row r="6" ht="46" customHeight="1" spans="1:13">
      <c r="A6" s="3">
        <v>5</v>
      </c>
      <c r="B6" s="3" t="s">
        <v>13</v>
      </c>
      <c r="C6" s="3" t="s">
        <v>22</v>
      </c>
      <c r="D6" s="3" t="s">
        <v>20</v>
      </c>
      <c r="E6" s="12" t="s">
        <v>26</v>
      </c>
      <c r="F6" s="12" t="s">
        <v>27</v>
      </c>
      <c r="G6" s="7" t="s">
        <v>28</v>
      </c>
      <c r="H6" s="9" t="s">
        <v>29</v>
      </c>
      <c r="I6" s="9" t="s">
        <v>30</v>
      </c>
      <c r="J6" s="9" t="s">
        <v>31</v>
      </c>
      <c r="K6" s="9"/>
      <c r="L6" s="11" t="str">
        <f>_xlfn.DISPIMG("ID_E6919FB05A0C45D594936C73AB7E9DF8",1)</f>
        <v>=DISPIMG("ID_E6919FB05A0C45D594936C73AB7E9DF8",1)</v>
      </c>
      <c r="M6" s="10"/>
    </row>
    <row r="7" ht="46" customHeight="1" spans="1:13">
      <c r="A7" s="3">
        <v>6</v>
      </c>
      <c r="B7" s="3" t="s">
        <v>13</v>
      </c>
      <c r="C7" s="3" t="s">
        <v>22</v>
      </c>
      <c r="D7" s="3" t="s">
        <v>20</v>
      </c>
      <c r="E7" s="5" t="s">
        <v>32</v>
      </c>
      <c r="F7" s="5" t="s">
        <v>27</v>
      </c>
      <c r="G7" s="7" t="s">
        <v>28</v>
      </c>
      <c r="H7" s="9" t="s">
        <v>33</v>
      </c>
      <c r="I7" s="9" t="s">
        <v>34</v>
      </c>
      <c r="J7" s="9" t="s">
        <v>19</v>
      </c>
      <c r="K7" s="9"/>
      <c r="L7" s="11" t="str">
        <f>_xlfn.DISPIMG("ID_EC1D7148A9B44FF5B30FF6F13427E574",1)</f>
        <v>=DISPIMG("ID_EC1D7148A9B44FF5B30FF6F13427E574",1)</v>
      </c>
      <c r="M7" s="10"/>
    </row>
    <row r="8" ht="46" customHeight="1" spans="1:13">
      <c r="A8" s="13">
        <v>7</v>
      </c>
      <c r="B8" s="13" t="s">
        <v>13</v>
      </c>
      <c r="C8" s="13" t="s">
        <v>22</v>
      </c>
      <c r="D8" s="13" t="s">
        <v>20</v>
      </c>
      <c r="E8" s="14" t="s">
        <v>23</v>
      </c>
      <c r="F8" s="14" t="s">
        <v>35</v>
      </c>
      <c r="G8" s="15" t="s">
        <v>28</v>
      </c>
      <c r="H8" s="16" t="s">
        <v>36</v>
      </c>
      <c r="I8" s="9" t="s">
        <v>37</v>
      </c>
      <c r="J8" s="9"/>
      <c r="K8" s="3"/>
      <c r="L8" s="3"/>
      <c r="M8" s="17"/>
    </row>
    <row r="9" ht="46" customHeight="1" spans="1:13">
      <c r="A9" s="3">
        <v>8</v>
      </c>
      <c r="B9" s="3" t="s">
        <v>38</v>
      </c>
      <c r="C9" s="3" t="s">
        <v>22</v>
      </c>
      <c r="D9" s="3" t="s">
        <v>20</v>
      </c>
      <c r="E9" s="5" t="s">
        <v>39</v>
      </c>
      <c r="F9" s="5" t="s">
        <v>40</v>
      </c>
      <c r="G9" s="7" t="s">
        <v>28</v>
      </c>
      <c r="H9" s="9" t="s">
        <v>41</v>
      </c>
      <c r="I9" s="9" t="s">
        <v>42</v>
      </c>
      <c r="J9" s="3"/>
      <c r="K9" s="3"/>
      <c r="L9" s="3"/>
      <c r="M9" s="17"/>
    </row>
    <row r="10" ht="46" customHeight="1" spans="1:13">
      <c r="A10" s="3">
        <v>9</v>
      </c>
      <c r="B10" s="3" t="s">
        <v>13</v>
      </c>
      <c r="C10" s="3" t="s">
        <v>22</v>
      </c>
      <c r="D10" s="3" t="s">
        <v>20</v>
      </c>
      <c r="E10" s="5" t="s">
        <v>39</v>
      </c>
      <c r="F10" s="5" t="s">
        <v>43</v>
      </c>
      <c r="G10" s="7" t="s">
        <v>28</v>
      </c>
      <c r="H10" s="9" t="s">
        <v>44</v>
      </c>
      <c r="I10" s="9" t="s">
        <v>45</v>
      </c>
      <c r="J10" s="9" t="s">
        <v>19</v>
      </c>
      <c r="K10" s="3"/>
      <c r="L10" s="18"/>
    </row>
    <row r="11" ht="46" customHeight="1" spans="1:13">
      <c r="A11" s="19">
        <v>10</v>
      </c>
      <c r="B11" s="3" t="s">
        <v>46</v>
      </c>
      <c r="C11" s="3" t="s">
        <v>22</v>
      </c>
      <c r="D11" s="3" t="s">
        <v>20</v>
      </c>
      <c r="E11" s="20" t="s">
        <v>47</v>
      </c>
      <c r="F11" s="5" t="s">
        <v>40</v>
      </c>
      <c r="G11" s="7" t="s">
        <v>28</v>
      </c>
      <c r="H11" s="9" t="s">
        <v>48</v>
      </c>
      <c r="I11" s="9" t="s">
        <v>49</v>
      </c>
      <c r="J11" s="21"/>
      <c r="K11" s="21"/>
      <c r="L11" s="18"/>
    </row>
    <row r="12" ht="46" customHeight="1" spans="1:13">
      <c r="A12" s="22"/>
      <c r="B12" s="21"/>
      <c r="C12" s="3" t="s">
        <v>22</v>
      </c>
      <c r="D12" s="3" t="s">
        <v>20</v>
      </c>
      <c r="E12" s="23" t="s">
        <v>32</v>
      </c>
      <c r="F12" s="23" t="s">
        <v>43</v>
      </c>
      <c r="G12" s="7" t="s">
        <v>28</v>
      </c>
      <c r="H12" s="9" t="s">
        <v>50</v>
      </c>
      <c r="I12" s="9" t="s">
        <v>51</v>
      </c>
      <c r="J12" s="21"/>
      <c r="K12" s="21"/>
      <c r="L12" s="18"/>
    </row>
    <row r="13" ht="46" customHeight="1" spans="1:13">
      <c r="A13" s="24">
        <v>12</v>
      </c>
      <c r="B13" s="3" t="s">
        <v>13</v>
      </c>
      <c r="C13" s="21"/>
      <c r="D13" s="21"/>
      <c r="E13" s="25" t="s">
        <v>52</v>
      </c>
      <c r="F13" s="25" t="s">
        <v>15</v>
      </c>
      <c r="G13" s="7" t="s">
        <v>28</v>
      </c>
      <c r="H13" s="9" t="s">
        <v>53</v>
      </c>
      <c r="I13" s="9" t="s">
        <v>54</v>
      </c>
      <c r="J13" s="21"/>
      <c r="K13" s="21"/>
      <c r="L13" s="18"/>
    </row>
    <row r="14" ht="46" customHeight="1" spans="1:13">
      <c r="A14" s="24">
        <v>13</v>
      </c>
      <c r="B14" s="21" t="s">
        <v>38</v>
      </c>
      <c r="C14" s="21"/>
      <c r="D14" s="21"/>
      <c r="E14" s="25" t="s">
        <v>55</v>
      </c>
      <c r="F14" s="25" t="s">
        <v>56</v>
      </c>
      <c r="G14" s="7" t="s">
        <v>28</v>
      </c>
      <c r="H14" s="9" t="s">
        <v>57</v>
      </c>
      <c r="I14" s="9" t="s">
        <v>58</v>
      </c>
      <c r="J14" s="21"/>
      <c r="K14" s="21"/>
      <c r="L14" s="18"/>
    </row>
    <row r="15" ht="46" customHeight="1" spans="1:13">
      <c r="A15" s="26">
        <v>14</v>
      </c>
      <c r="B15" s="3" t="s">
        <v>13</v>
      </c>
      <c r="C15" s="21"/>
      <c r="D15" s="21"/>
      <c r="E15" s="25" t="s">
        <v>59</v>
      </c>
      <c r="F15" s="25" t="s">
        <v>52</v>
      </c>
      <c r="G15" s="7" t="s">
        <v>28</v>
      </c>
      <c r="H15" s="9" t="s">
        <v>50</v>
      </c>
      <c r="I15" s="9" t="s">
        <v>51</v>
      </c>
      <c r="J15" s="21"/>
      <c r="K15" s="21"/>
      <c r="L15" s="18"/>
    </row>
    <row r="16" ht="46" customHeight="1" spans="1:13">
      <c r="A16" s="22">
        <v>15</v>
      </c>
      <c r="B16" s="21" t="s">
        <v>38</v>
      </c>
      <c r="C16" s="21"/>
      <c r="D16" s="21"/>
      <c r="E16" s="20" t="s">
        <v>47</v>
      </c>
      <c r="F16" s="5" t="s">
        <v>40</v>
      </c>
      <c r="G16" s="27" t="s">
        <v>52</v>
      </c>
      <c r="H16" s="9" t="s">
        <v>60</v>
      </c>
      <c r="I16" s="9" t="s">
        <v>61</v>
      </c>
      <c r="J16" s="21"/>
      <c r="K16" s="21"/>
      <c r="L16" s="18"/>
    </row>
    <row r="17" ht="46" customHeight="1" spans="1:11">
      <c r="A17" s="28"/>
      <c r="B17" s="21"/>
      <c r="C17" s="21"/>
      <c r="D17" s="21"/>
      <c r="E17" s="20" t="s">
        <v>47</v>
      </c>
      <c r="F17" s="5" t="s">
        <v>40</v>
      </c>
      <c r="G17" s="29" t="s">
        <v>62</v>
      </c>
      <c r="H17" s="9" t="s">
        <v>50</v>
      </c>
      <c r="I17" s="9" t="s">
        <v>51</v>
      </c>
      <c r="J17" s="28"/>
      <c r="K17" s="28"/>
    </row>
    <row r="18" ht="46" customHeight="1" spans="1:11">
      <c r="A18" s="28"/>
      <c r="B18" s="28"/>
      <c r="C18" s="28"/>
      <c r="D18" s="28"/>
      <c r="E18" s="30"/>
      <c r="F18" s="30"/>
      <c r="G18" s="28"/>
      <c r="H18" s="28"/>
      <c r="I18" s="28"/>
      <c r="J18" s="28"/>
      <c r="K18" s="28"/>
    </row>
    <row r="19" ht="46" customHeight="1"/>
    <row r="20" ht="46" customHeight="1"/>
    <row r="21" ht="46" customHeight="1"/>
    <row r="22" ht="46" customHeight="1"/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Сергей Королько�</cp:lastModifiedBy>
  <dcterms:created xsi:type="dcterms:W3CDTF">2026-09-08T11:11:00Z</dcterms:created>
  <dcterms:modified xsi:type="dcterms:W3CDTF">2026-09-09T14:04:03Z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D36EA74771C64B60A0FAFA4EECB9A5D6_13</vt:lpwstr>
  </property>
  <property fmtid="{D5CDD505-2E9C-101B-9397-08002B2CF9AE}" pid="3" name="KSOProductBuildVer">
    <vt:lpwstr>1049-12.1.0.28485</vt:lpwstr>
  </property>
  <property fmtid="{D5CDD505-2E9C-101B-9397-08002B2CF9AE}" pid="4" name="CalculationRule">
    <vt:i4>0</vt:i4>
  </property>
</Properties>
</file>